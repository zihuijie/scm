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teny\Documents\repos\scm\Template\"/>
    </mc:Choice>
  </mc:AlternateContent>
  <xr:revisionPtr revIDLastSave="0" documentId="13_ncr:1_{76442759-C92D-4183-95CD-1841407E1A76}" xr6:coauthVersionLast="32" xr6:coauthVersionMax="32" xr10:uidLastSave="{00000000-0000-0000-0000-000000000000}"/>
  <bookViews>
    <workbookView xWindow="0" yWindow="0" windowWidth="28800" windowHeight="12468" activeTab="1" xr2:uid="{4845587E-9439-4B0D-9826-F6E542C9199C}"/>
  </bookViews>
  <sheets>
    <sheet name="Master" sheetId="1" r:id="rId1"/>
    <sheet name="setup" sheetId="2" r:id="rId2"/>
  </sheets>
  <calcPr calcId="17901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C7" i="1"/>
  <c r="K4" i="1"/>
  <c r="C5" i="1"/>
  <c r="C4" i="1"/>
  <c r="K5" i="1"/>
</calcChain>
</file>

<file path=xl/sharedStrings.xml><?xml version="1.0" encoding="utf-8"?>
<sst xmlns="http://schemas.openxmlformats.org/spreadsheetml/2006/main" count="47" uniqueCount="43">
  <si>
    <t>Done?</t>
  </si>
  <si>
    <t>DESCRIPTION:</t>
  </si>
  <si>
    <t>Bid Due:</t>
  </si>
  <si>
    <t>Report Date:</t>
  </si>
  <si>
    <t>Assignee</t>
  </si>
  <si>
    <t>Due Date</t>
  </si>
  <si>
    <t>Links</t>
  </si>
  <si>
    <t>Action Item No.</t>
  </si>
  <si>
    <t>Description</t>
  </si>
  <si>
    <t>Priority</t>
  </si>
  <si>
    <t>Done</t>
  </si>
  <si>
    <t xml:space="preserve">RFQ# : </t>
  </si>
  <si>
    <t>Total Issues:</t>
  </si>
  <si>
    <t>Open Issues:</t>
  </si>
  <si>
    <t>High</t>
  </si>
  <si>
    <t>Medium</t>
  </si>
  <si>
    <t>Low</t>
  </si>
  <si>
    <t>Jane Zi-Yep</t>
  </si>
  <si>
    <t>Test Description</t>
  </si>
  <si>
    <t>Company</t>
  </si>
  <si>
    <t>Vendor1</t>
  </si>
  <si>
    <t>Vendor2</t>
  </si>
  <si>
    <t>Vendor3</t>
  </si>
  <si>
    <t>Report Setup</t>
  </si>
  <si>
    <t>Document Number</t>
  </si>
  <si>
    <t>Document Description</t>
  </si>
  <si>
    <t>Y</t>
  </si>
  <si>
    <t>N</t>
  </si>
  <si>
    <t>ADDED</t>
  </si>
  <si>
    <t>DUE</t>
  </si>
  <si>
    <t>RESP</t>
  </si>
  <si>
    <t>Forecast</t>
  </si>
  <si>
    <t>COMMENTS</t>
  </si>
  <si>
    <t>Raised By</t>
  </si>
  <si>
    <t>xxx12345-EME-RFQ-001</t>
  </si>
  <si>
    <t>Technical Building</t>
  </si>
  <si>
    <t>Alice Wang</t>
  </si>
  <si>
    <t>Joy Wang</t>
  </si>
  <si>
    <t>Hello King</t>
  </si>
  <si>
    <t>Copy Me</t>
  </si>
  <si>
    <t>Owner</t>
  </si>
  <si>
    <t>xxx12345</t>
  </si>
  <si>
    <t>AnalyZi TECHNICAL CLARIFICATION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</si>
</sst>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/mmm/yy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Algerian"/>
      <family val="5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0" xfId="0" applyFill="1" applyBorder="1" applyAlignment="1">
      <alignment horizontal="center"/>
    </xf>
    <xf numFmtId="0" fontId="2" fillId="0" borderId="1" xfId="0" applyFont="1" applyBorder="1"/>
    <xf numFmtId="0" fontId="0" fillId="0" borderId="1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left"/>
    </xf>
    <xf numFmtId="0" fontId="0" fillId="2" borderId="0" xfId="0" applyFill="1" applyBorder="1" applyAlignment="1">
      <alignment horizontal="left"/>
    </xf>
    <xf numFmtId="0" fontId="4" fillId="0" borderId="0" xfId="0" applyFont="1"/>
    <xf numFmtId="164" fontId="0" fillId="0" borderId="0" xfId="0" applyNumberFormat="1"/>
    <xf numFmtId="0" fontId="1" fillId="3" borderId="5" xfId="0" applyFont="1" applyFill="1" applyBorder="1"/>
    <xf numFmtId="0" fontId="1" fillId="3" borderId="6" xfId="0" applyFont="1" applyFill="1" applyBorder="1" applyAlignment="1">
      <alignment horizontal="left" vertical="center"/>
    </xf>
    <xf numFmtId="0" fontId="0" fillId="3" borderId="7" xfId="0" applyFill="1" applyBorder="1"/>
    <xf numFmtId="0" fontId="1" fillId="3" borderId="3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3" borderId="4" xfId="0" applyFill="1" applyBorder="1" applyAlignment="1">
      <alignment horizontal="left"/>
    </xf>
    <xf numFmtId="165" fontId="0" fillId="3" borderId="1" xfId="0" applyNumberFormat="1" applyFill="1" applyBorder="1" applyAlignment="1">
      <alignment horizontal="left"/>
    </xf>
    <xf numFmtId="0" fontId="0" fillId="0" borderId="0" xfId="0" applyFont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1" fillId="0" borderId="0" xfId="0" applyFont="1" applyBorder="1" applyAlignment="1">
      <alignment horizontal="right"/>
    </xf>
  </cellXfs>
  <cellStyles count="1">
    <cellStyle name="Normal" xfId="0" builtinId="0"/>
  </cellStyles>
  <dxfs count="21">
    <dxf>
      <border outline="0">
        <top style="thin">
          <color theme="4" tint="0.39997558519241921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2801683</xdr:colOff>
      <xdr:row>0</xdr:row>
      <xdr:rowOff>50385</xdr:rowOff>
    </xdr:from>
    <xdr:to>
      <xdr:col>10</xdr:col>
      <xdr:colOff>428949</xdr:colOff>
      <xdr:row>1</xdr:row>
      <xdr:rowOff>320041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563" y="50385"/>
          <a:ext cx="728606" cy="4525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1097280</xdr:colOff>
          <xdr:row>7</xdr:row>
          <xdr:rowOff>76200</xdr:rowOff>
        </xdr:from>
        <xdr:to>
          <xdr:col>4</xdr:col>
          <xdr:colOff>1851660</xdr:colOff>
          <xdr:row>8</xdr:row>
          <xdr:rowOff>152400</xdr:rowOff>
        </xdr:to>
        <xdr:sp macro="" textlink="">
          <xdr:nvSpPr>
            <xdr:cNvPr id="1039" name="addItem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4DB8BC1-47EF-4503-BB34-31C94DC01020}" name="ITEMS" displayName="ITEMS" ref="A10:K30" totalsRowShown="0" headerRowDxfId="17" dataDxfId="15" headerRowBorderDxfId="16">
  <autoFilter ref="A10:K30" xr:uid="{5D3B7C99-DAA8-40E1-9C69-7E419ECE851D}"/>
  <tableColumns count="11">
    <tableColumn id="1" xr3:uid="{436021FD-34CF-4C9D-99CF-31304708548C}" name="Done?" dataDxfId="14"/>
    <tableColumn id="2" xr3:uid="{E90AFE21-3ECF-425B-A101-5D2B8019C9F3}" name="Action Item No." dataDxfId="13"/>
    <tableColumn id="3" xr3:uid="{85352583-6F03-4106-9045-F5E821C7648D}" name="Priority" dataDxfId="12"/>
    <tableColumn id="4" xr3:uid="{7735A13B-FFDC-41FF-AA17-8DC147AD677F}" name="RESP" dataDxfId="11"/>
    <tableColumn id="5" xr3:uid="{9C0EEFBD-450F-4F5E-B484-ABA184723E87}" name="Description" dataDxfId="10"/>
    <tableColumn id="6" xr3:uid="{FB4814D5-9337-427F-BEE2-39CAB13A2D83}" name="Raised By" dataDxfId="9"/>
    <tableColumn id="7" xr3:uid="{274120B9-1A7E-49C3-AA72-CB8BA54E5E4F}" name="ADDED" dataDxfId="8"/>
    <tableColumn id="8" xr3:uid="{0005949E-68D7-40F3-9946-11DF37428345}" name="DUE" dataDxfId="7"/>
    <tableColumn id="9" xr3:uid="{50D95883-98BA-4A5E-8233-F554D597016F}" name="Forecast" dataDxfId="6"/>
    <tableColumn id="10" xr3:uid="{661AE368-E336-46A2-AE82-36F5F1953F8F}" name="COMMENTS" dataDxfId="5"/>
    <tableColumn id="11" xr3:uid="{95F6DC2F-EEF2-4E2D-AEAB-76CF59E2BDF8}" name="Link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846D9D-7B83-415F-B334-99D34E318B80}" name="Done" displayName="Done" ref="B9:B11" totalsRowShown="0" dataDxfId="3">
  <autoFilter ref="B9:B11" xr:uid="{0D72746B-B37D-4105-A198-8D5B5CD3F3BB}"/>
  <tableColumns count="1">
    <tableColumn id="1" xr3:uid="{0760A149-3B69-4129-8F42-2BC2A18D0490}" name="Done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5B6BE3-F50A-48A3-8663-68B3E45911DD}" name="Priority" displayName="Priority" ref="D9:D12" totalsRowShown="0">
  <autoFilter ref="D9:D12" xr:uid="{D410F23E-E55A-4728-8B41-E26286A5E232}"/>
  <tableColumns count="1">
    <tableColumn id="1" xr3:uid="{83EAF976-6C29-4B0D-826E-3197C1C95453}" name="Prior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BD809F-4D70-46FC-9223-BCA95FC25E7E}" name="Assignee" displayName="Assignee" ref="F9:F14" totalsRowShown="0" headerRowBorderDxfId="1" tableBorderDxfId="0">
  <autoFilter ref="F9:F14" xr:uid="{BF16C240-DC3A-4E35-B605-250D1E01A945}"/>
  <tableColumns count="1">
    <tableColumn id="1" xr3:uid="{B8A0EB9B-3F4E-4D80-9157-3F3B7EE4B2EA}" name="Assigne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0A378BE-B018-4D09-8E98-4AAA64558221}" name="Company" displayName="Company" ref="H9:H13" totalsRowShown="0">
  <autoFilter ref="H9:H13" xr:uid="{38FA24BA-80EF-451A-A455-6E9ECBEC08C5}"/>
  <tableColumns count="1">
    <tableColumn id="1" xr3:uid="{A25DC9A4-E73C-4221-99DC-459FC579FB35}" name="Compan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3BF56-18F3-4F60-93F8-CDCB8FA7C658}">
  <sheetPr codeName="Sheet1"/>
  <dimension ref="A2:L30"/>
  <sheetViews>
    <sheetView showGridLines="0" workbookViewId="0">
      <selection activeCell="K2" sqref="K2"/>
    </sheetView>
  </sheetViews>
  <sheetFormatPr defaultRowHeight="14.4" x14ac:dyDescent="0.3"/>
  <cols>
    <col min="1" max="1" width="10.77734375" style="2" bestFit="1" customWidth="1"/>
    <col min="2" max="2" width="13.77734375" customWidth="1"/>
    <col min="3" max="3" width="14.21875" customWidth="1"/>
    <col min="4" max="4" width="12.77734375" bestFit="1" customWidth="1"/>
    <col min="5" max="5" width="68.21875" customWidth="1"/>
    <col min="6" max="6" width="13" customWidth="1"/>
    <col min="7" max="7" width="16.44140625" bestFit="1" customWidth="1"/>
    <col min="8" max="8" width="13.109375" bestFit="1" customWidth="1"/>
    <col min="9" max="9" width="12.5546875" customWidth="1"/>
    <col min="10" max="10" width="45.21875" customWidth="1"/>
    <col min="11" max="11" width="11.88671875" bestFit="1" customWidth="1"/>
  </cols>
  <sheetData>
    <row r="2" spans="1:12" ht="29.4" thickBot="1" x14ac:dyDescent="0.6">
      <c r="A2" s="7" t="s">
        <v>41</v>
      </c>
      <c r="B2" s="8"/>
      <c r="C2" s="7" t="s">
        <v>42</v>
      </c>
      <c r="D2" s="8"/>
      <c r="E2" s="8"/>
      <c r="F2" s="8"/>
      <c r="G2" s="8"/>
      <c r="H2" s="8"/>
      <c r="I2" s="8"/>
      <c r="J2" s="8"/>
      <c r="K2" s="8"/>
    </row>
    <row r="3" spans="1:12" ht="15" thickBot="1" x14ac:dyDescent="0.35">
      <c r="A3" s="10"/>
      <c r="B3" s="9"/>
      <c r="C3" s="9"/>
    </row>
    <row r="4" spans="1:12" ht="15" thickBot="1" x14ac:dyDescent="0.35">
      <c r="B4" s="16" t="s">
        <v>11</v>
      </c>
      <c r="C4" s="17" t="str">
        <f>setup!D4</f>
        <v>xxx12345-EME-RFQ-001</v>
      </c>
      <c r="D4" s="18"/>
      <c r="H4" s="5"/>
      <c r="I4" s="1"/>
      <c r="J4" s="27" t="s">
        <v>2</v>
      </c>
      <c r="K4" s="22">
        <f>setup!D6</f>
        <v>43262</v>
      </c>
    </row>
    <row r="5" spans="1:12" ht="15" thickBot="1" x14ac:dyDescent="0.35">
      <c r="B5" s="19" t="s">
        <v>1</v>
      </c>
      <c r="C5" s="20" t="str">
        <f>setup!D5</f>
        <v>Technical Building</v>
      </c>
      <c r="D5" s="21"/>
      <c r="E5" s="12"/>
      <c r="H5" s="26"/>
      <c r="J5" s="27" t="s">
        <v>3</v>
      </c>
      <c r="K5" s="22">
        <f ca="1">TODAY()</f>
        <v>43246</v>
      </c>
    </row>
    <row r="6" spans="1:12" x14ac:dyDescent="0.3">
      <c r="E6" s="3"/>
      <c r="H6" s="5"/>
      <c r="I6" s="1"/>
    </row>
    <row r="7" spans="1:12" x14ac:dyDescent="0.3">
      <c r="B7" s="12" t="s">
        <v>12</v>
      </c>
      <c r="C7">
        <f>COUNTIF(A:A,"Y") + COUNTIF(A:A,"N")</f>
        <v>1</v>
      </c>
      <c r="E7" s="3"/>
      <c r="H7" s="5"/>
      <c r="I7" s="1"/>
    </row>
    <row r="8" spans="1:12" x14ac:dyDescent="0.3">
      <c r="B8" s="3" t="s">
        <v>13</v>
      </c>
      <c r="C8">
        <f>COUNTIF(A:A,"N")</f>
        <v>0</v>
      </c>
      <c r="E8" s="3"/>
      <c r="F8" s="3"/>
      <c r="G8" s="4"/>
      <c r="H8" s="5"/>
      <c r="I8" s="1"/>
    </row>
    <row r="10" spans="1:12" s="11" customFormat="1" ht="28.2" customHeight="1" x14ac:dyDescent="0.3">
      <c r="A10" s="25" t="s">
        <v>0</v>
      </c>
      <c r="B10" s="25" t="s">
        <v>7</v>
      </c>
      <c r="C10" s="25" t="s">
        <v>9</v>
      </c>
      <c r="D10" s="25" t="s">
        <v>30</v>
      </c>
      <c r="E10" s="25" t="s">
        <v>8</v>
      </c>
      <c r="F10" s="25" t="s">
        <v>33</v>
      </c>
      <c r="G10" s="25" t="s">
        <v>28</v>
      </c>
      <c r="H10" s="25" t="s">
        <v>29</v>
      </c>
      <c r="I10" s="25" t="s">
        <v>31</v>
      </c>
      <c r="J10" s="25" t="s">
        <v>32</v>
      </c>
      <c r="K10" s="25" t="s">
        <v>6</v>
      </c>
    </row>
    <row r="11" spans="1:12" x14ac:dyDescent="0.3">
      <c r="A11" s="24" t="s">
        <v>26</v>
      </c>
      <c r="B11" s="6">
        <v>1</v>
      </c>
      <c r="C11" s="6" t="s">
        <v>15</v>
      </c>
      <c r="D11" s="6" t="s">
        <v>17</v>
      </c>
      <c r="E11" s="13" t="s">
        <v>18</v>
      </c>
      <c r="F11" s="6"/>
      <c r="G11" s="6"/>
      <c r="H11" s="6"/>
      <c r="I11" s="6"/>
      <c r="J11" s="6"/>
      <c r="K11" s="6"/>
      <c r="L11" s="2"/>
    </row>
    <row r="12" spans="1:12" x14ac:dyDescent="0.3">
      <c r="A12" s="24"/>
      <c r="B12" s="6">
        <v>2</v>
      </c>
      <c r="C12" s="6"/>
      <c r="D12" s="6"/>
      <c r="E12" s="6"/>
      <c r="F12" s="6"/>
      <c r="G12" s="6"/>
      <c r="H12" s="6"/>
      <c r="I12" s="6"/>
      <c r="J12" s="6"/>
      <c r="K12" s="6"/>
    </row>
    <row r="13" spans="1:12" x14ac:dyDescent="0.3">
      <c r="A13" s="24"/>
      <c r="B13" s="6">
        <v>3</v>
      </c>
      <c r="C13" s="6"/>
      <c r="D13" s="6"/>
      <c r="E13" s="6"/>
      <c r="F13" s="6"/>
      <c r="G13" s="6"/>
      <c r="H13" s="6"/>
      <c r="I13" s="6"/>
      <c r="J13" s="6"/>
      <c r="K13" s="6"/>
    </row>
    <row r="14" spans="1:12" x14ac:dyDescent="0.3">
      <c r="A14" s="24"/>
      <c r="B14" s="6">
        <v>4</v>
      </c>
      <c r="C14" s="6"/>
      <c r="D14" s="6"/>
      <c r="E14" s="6"/>
      <c r="F14" s="6"/>
      <c r="G14" s="6"/>
      <c r="H14" s="6"/>
      <c r="I14" s="6"/>
      <c r="J14" s="6"/>
      <c r="K14" s="6"/>
    </row>
    <row r="15" spans="1:12" x14ac:dyDescent="0.3">
      <c r="A15" s="24"/>
      <c r="B15" s="6">
        <v>5</v>
      </c>
      <c r="C15" s="6"/>
      <c r="D15" s="6"/>
      <c r="E15" s="6"/>
      <c r="F15" s="6"/>
      <c r="G15" s="6"/>
      <c r="H15" s="6"/>
      <c r="I15" s="6"/>
      <c r="J15" s="6"/>
      <c r="K15" s="6"/>
    </row>
    <row r="16" spans="1:12" x14ac:dyDescent="0.3">
      <c r="A16" s="24"/>
      <c r="B16" s="6">
        <v>6</v>
      </c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3">
      <c r="A17" s="24"/>
      <c r="B17" s="6">
        <v>7</v>
      </c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3">
      <c r="A18" s="24"/>
      <c r="B18" s="6">
        <v>8</v>
      </c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3">
      <c r="A19" s="24"/>
      <c r="B19" s="6">
        <v>9</v>
      </c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3">
      <c r="A20" s="24"/>
      <c r="B20" s="6">
        <v>10</v>
      </c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3">
      <c r="A21" s="24"/>
      <c r="B21" s="6">
        <v>11</v>
      </c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3">
      <c r="A22" s="24"/>
      <c r="B22" s="6">
        <v>12</v>
      </c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3">
      <c r="A23" s="24"/>
      <c r="B23" s="6">
        <v>13</v>
      </c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3">
      <c r="A24" s="24"/>
      <c r="B24" s="6">
        <v>14</v>
      </c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3">
      <c r="A25" s="24"/>
      <c r="B25" s="6">
        <v>15</v>
      </c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3">
      <c r="A26" s="24"/>
      <c r="B26" s="6">
        <v>16</v>
      </c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3">
      <c r="A27" s="24"/>
      <c r="B27" s="6">
        <v>17</v>
      </c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3">
      <c r="A28" s="24"/>
      <c r="B28" s="6">
        <v>18</v>
      </c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3">
      <c r="A29" s="24"/>
      <c r="B29" s="6">
        <v>19</v>
      </c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3">
      <c r="A30" s="24"/>
      <c r="B30" s="6">
        <v>20</v>
      </c>
      <c r="C30" s="6"/>
      <c r="D30" s="6"/>
      <c r="E30" s="6"/>
      <c r="F30" s="6"/>
      <c r="G30" s="6"/>
      <c r="H30" s="6"/>
      <c r="I30" s="6"/>
      <c r="J30" s="6"/>
      <c r="K30" s="6"/>
    </row>
  </sheetData>
  <sheetProtection formatCells="0" formatColumns="0" formatRows="0" insertColumns="0" insertRows="0" insertHyperlinks="0" deleteColumns="0" deleteRows="0" sort="0" autoFilter="0" pivotTables="0"/>
  <conditionalFormatting sqref="C1:C1048576">
    <cfRule type="cellIs" dxfId="20" priority="4" operator="equal">
      <formula>"High"</formula>
    </cfRule>
  </conditionalFormatting>
  <conditionalFormatting sqref="L31:Z1498 A31:K1499 L5:Z5 H5 A8:Z30 H6:Z7 J4:K5 A4:E7 H4:Z4 A1:Z3">
    <cfRule type="expression" dxfId="19" priority="3">
      <formula>INDIRECT("A"&amp;ROW())="Y"</formula>
    </cfRule>
  </conditionalFormatting>
  <conditionalFormatting sqref="A2">
    <cfRule type="cellIs" dxfId="18" priority="1" operator="equal">
      <formula>"High"</formula>
    </cfRule>
  </conditionalFormatting>
  <pageMargins left="0.7" right="0.7" top="0.75" bottom="0.75" header="0.3" footer="0.3"/>
  <pageSetup orientation="portrait" r:id="rId1"/>
  <ignoredErrors>
    <ignoredError sqref="A10" listDataValidation="1"/>
  </ignoredErrors>
  <drawing r:id="rId2"/>
  <legacyDrawing r:id="rId3"/>
  <controls>
    <mc:AlternateContent xmlns:mc="http://schemas.openxmlformats.org/markup-compatibility/2006">
      <mc:Choice Requires="x14">
        <control shapeId="1039" r:id="rId4" name="addItem">
          <controlPr defaultSize="0" autoFill="0" autoLine="0" r:id="rId5">
            <anchor moveWithCells="1">
              <from>
                <xdr:col>4</xdr:col>
                <xdr:colOff>1097280</xdr:colOff>
                <xdr:row>7</xdr:row>
                <xdr:rowOff>76200</xdr:rowOff>
              </from>
              <to>
                <xdr:col>4</xdr:col>
                <xdr:colOff>1851660</xdr:colOff>
                <xdr:row>8</xdr:row>
                <xdr:rowOff>152400</xdr:rowOff>
              </to>
            </anchor>
          </controlPr>
        </control>
      </mc:Choice>
      <mc:Fallback>
        <control shapeId="1039" r:id="rId4" name="addItem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E5D5525A-A3B3-470C-BD85-092FB1220E65}">
            <x14:iconSet iconSet="3Flags" custom="1">
              <x14:cfvo type="percent">
                <xm:f>0</xm:f>
              </x14:cfvo>
              <x14:cfvo type="num" gte="0">
                <xm:f>0</xm:f>
              </x14:cfvo>
              <x14:cfvo type="num">
                <xm:f>10</xm:f>
              </x14:cfvo>
              <x14:cfIcon iconSet="3Flags" iconId="2"/>
              <x14:cfIcon iconSet="3Symbols2" iconId="1"/>
              <x14:cfIcon iconSet="3Symbols2" iconId="0"/>
            </x14:iconSet>
          </x14:cfRule>
          <xm:sqref>C8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Only Check Mark Allowed!" error="Please select from Drop Down!" promptTitle="Done?" prompt="Check If Done!" xr:uid="{B2B96E2D-54F3-4F19-A28B-BBDDAA91267A}">
          <x14:formula1>
            <xm:f>setup!$B$10:$B$11</xm:f>
          </x14:formula1>
          <xm:sqref>A10</xm:sqref>
        </x14:dataValidation>
        <x14:dataValidation type="list" allowBlank="1" showInputMessage="1" showErrorMessage="1" errorTitle="Done" error="Select from Drop down list only!" promptTitle="Done" prompt="Please Select from Drop Down!" xr:uid="{4644B411-9D94-4178-8515-7F2F3DE147A6}">
          <x14:formula1>
            <xm:f>setup!$B$10:$B$11</xm:f>
          </x14:formula1>
          <xm:sqref>A11:A30</xm:sqref>
        </x14:dataValidation>
        <x14:dataValidation type="list" allowBlank="1" showInputMessage="1" showErrorMessage="1" errorTitle="Priority" error="Select Priority from Drop Down!" promptTitle="Priority" prompt="Select Priority" xr:uid="{7DE1CAB6-D402-452C-89BA-019B3D68B3D9}">
          <x14:formula1>
            <xm:f>setup!$D$10:$D$12</xm:f>
          </x14:formula1>
          <xm:sqref>C11</xm:sqref>
        </x14:dataValidation>
        <x14:dataValidation type="list" errorStyle="warning" allowBlank="1" showInputMessage="1" showErrorMessage="1" errorTitle="Assignee" error="Select from Drop Down!" promptTitle="Assignee" prompt="Select Assignee" xr:uid="{36959C92-CE95-47DB-BBBE-E022C01F98F1}">
          <x14:formula1>
            <xm:f>setup!$F$10:$F$14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8056-2406-4CA3-9193-CE2954B65661}">
  <sheetPr codeName="Sheet2"/>
  <dimension ref="B2:H14"/>
  <sheetViews>
    <sheetView tabSelected="1" workbookViewId="0">
      <selection activeCell="H10" sqref="H10"/>
    </sheetView>
  </sheetViews>
  <sheetFormatPr defaultRowHeight="14.4" x14ac:dyDescent="0.3"/>
  <cols>
    <col min="3" max="3" width="10.33203125" bestFit="1" customWidth="1"/>
    <col min="4" max="4" width="20.44140625" bestFit="1" customWidth="1"/>
    <col min="6" max="6" width="10.21875" customWidth="1"/>
    <col min="8" max="8" width="11" customWidth="1"/>
  </cols>
  <sheetData>
    <row r="2" spans="2:8" ht="19.8" x14ac:dyDescent="0.4">
      <c r="B2" s="14" t="s">
        <v>23</v>
      </c>
    </row>
    <row r="4" spans="2:8" x14ac:dyDescent="0.3">
      <c r="B4" t="s">
        <v>24</v>
      </c>
      <c r="D4" t="s">
        <v>34</v>
      </c>
    </row>
    <row r="5" spans="2:8" x14ac:dyDescent="0.3">
      <c r="B5" t="s">
        <v>25</v>
      </c>
      <c r="D5" t="s">
        <v>35</v>
      </c>
    </row>
    <row r="6" spans="2:8" x14ac:dyDescent="0.3">
      <c r="B6" t="s">
        <v>5</v>
      </c>
      <c r="D6" s="15">
        <v>43262</v>
      </c>
    </row>
    <row r="9" spans="2:8" x14ac:dyDescent="0.3">
      <c r="B9" t="s">
        <v>10</v>
      </c>
      <c r="D9" t="s">
        <v>9</v>
      </c>
      <c r="F9" t="s">
        <v>4</v>
      </c>
      <c r="H9" t="s">
        <v>19</v>
      </c>
    </row>
    <row r="10" spans="2:8" x14ac:dyDescent="0.3">
      <c r="B10" s="23" t="s">
        <v>26</v>
      </c>
      <c r="D10" t="s">
        <v>14</v>
      </c>
      <c r="F10" t="s">
        <v>36</v>
      </c>
      <c r="H10" t="s">
        <v>40</v>
      </c>
    </row>
    <row r="11" spans="2:8" x14ac:dyDescent="0.3">
      <c r="B11" s="23" t="s">
        <v>27</v>
      </c>
      <c r="D11" t="s">
        <v>15</v>
      </c>
      <c r="F11" t="s">
        <v>17</v>
      </c>
      <c r="H11" t="s">
        <v>20</v>
      </c>
    </row>
    <row r="12" spans="2:8" x14ac:dyDescent="0.3">
      <c r="D12" t="s">
        <v>16</v>
      </c>
      <c r="F12" t="s">
        <v>37</v>
      </c>
      <c r="H12" t="s">
        <v>21</v>
      </c>
    </row>
    <row r="13" spans="2:8" x14ac:dyDescent="0.3">
      <c r="F13" t="s">
        <v>38</v>
      </c>
      <c r="H13" t="s">
        <v>22</v>
      </c>
    </row>
    <row r="14" spans="2:8" x14ac:dyDescent="0.3">
      <c r="F14" t="s">
        <v>39</v>
      </c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893503-A8DC-4B00-B095-392660EB5C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 Yep</dc:creator>
  <cp:lastModifiedBy>Administrator Yep</cp:lastModifiedBy>
  <dcterms:created xsi:type="dcterms:W3CDTF">2018-05-26T20:40:36Z</dcterms:created>
  <dcterms:modified xsi:type="dcterms:W3CDTF">2018-05-27T05:44:13Z</dcterms:modified>
</cp:coreProperties>
</file>