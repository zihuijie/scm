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slicers/slicer1.xml" ContentType="application/vnd.ms-excel.slicer+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226" codeName="{EC734049-C954-9101-EBF6-4418645C62DC}"/>
  <workbookPr codeName="ThisWorkbook" defaultThemeVersion="166925"/>
  <mc:AlternateContent xmlns:mc="http://schemas.openxmlformats.org/markup-compatibility/2006">
    <mc:Choice Requires="x15">
      <x15ac:absPath xmlns:x15ac="http://schemas.microsoft.com/office/spreadsheetml/2010/11/ac" url="C:\Users\jteny\Documents\repos\scm\Template\"/>
    </mc:Choice>
  </mc:AlternateContent>
  <xr:revisionPtr revIDLastSave="0" documentId="13_ncr:1_{B5B83DA3-CB1F-496C-8280-067D53C42BD8}" xr6:coauthVersionLast="32" xr6:coauthVersionMax="32" xr10:uidLastSave="{00000000-0000-0000-0000-000000000000}"/>
  <bookViews>
    <workbookView xWindow="0" yWindow="0" windowWidth="28800" windowHeight="12468" xr2:uid="{4845587E-9439-4B0D-9826-F6E542C9199C}"/>
  </bookViews>
  <sheets>
    <sheet name="Master" sheetId="1" r:id="rId1"/>
    <sheet name="Attendees" sheetId="3" r:id="rId2"/>
    <sheet name="setup" sheetId="2" r:id="rId3"/>
  </sheets>
  <functionGroups builtInGroupCount="19"/>
  <definedNames>
    <definedName name="Slicer_Done?">#N/A</definedName>
    <definedName name="Slicer_Priority">#N/A</definedName>
  </definedNames>
  <calcPr calcId="179017" concurrentCalc="0"/>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4"/>
        <x14:slicerCache r:id="rId5"/>
      </x15:slicerCaches>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5" i="3" l="1"/>
  <c r="D6" i="3"/>
  <c r="D7" i="3"/>
  <c r="D8" i="3"/>
  <c r="D9" i="3"/>
  <c r="D10" i="3"/>
  <c r="D11" i="3"/>
  <c r="D12" i="3"/>
  <c r="D13" i="3"/>
  <c r="D14" i="3"/>
  <c r="D15" i="3"/>
  <c r="D16" i="3"/>
  <c r="D17" i="3"/>
  <c r="D18" i="3"/>
  <c r="D19" i="3"/>
  <c r="D20" i="3"/>
  <c r="D21" i="3"/>
  <c r="D22" i="3"/>
  <c r="D23" i="3"/>
  <c r="D24" i="3"/>
  <c r="D25" i="3"/>
  <c r="D26" i="3"/>
  <c r="D27" i="3"/>
  <c r="D4" i="3"/>
  <c r="G4" i="1"/>
  <c r="K5" i="1"/>
  <c r="C8" i="1"/>
  <c r="C7" i="1"/>
  <c r="K4" i="1"/>
  <c r="C5" i="1"/>
  <c r="C4" i="1"/>
  <c r="K3" i="1"/>
</calcChain>
</file>

<file path=xl/sharedStrings.xml><?xml version="1.0" encoding="utf-8"?>
<sst xmlns="http://schemas.openxmlformats.org/spreadsheetml/2006/main" count="82" uniqueCount="57">
  <si>
    <t>Done?</t>
  </si>
  <si>
    <t>DESCRIPTION:</t>
  </si>
  <si>
    <t>Report Date:</t>
  </si>
  <si>
    <t>Assignee</t>
  </si>
  <si>
    <t>Links</t>
  </si>
  <si>
    <t>Action Item No.</t>
  </si>
  <si>
    <t>Description</t>
  </si>
  <si>
    <t>Priority</t>
  </si>
  <si>
    <t>Done</t>
  </si>
  <si>
    <t>Total Issues:</t>
  </si>
  <si>
    <t>Open Issues:</t>
  </si>
  <si>
    <t>High</t>
  </si>
  <si>
    <t>Medium</t>
  </si>
  <si>
    <t>Low</t>
  </si>
  <si>
    <t>Jane Zi-Yep</t>
  </si>
  <si>
    <t>Test Description</t>
  </si>
  <si>
    <t>Company</t>
  </si>
  <si>
    <t>COOEC</t>
  </si>
  <si>
    <t>Vendor1</t>
  </si>
  <si>
    <t>Vendor2</t>
  </si>
  <si>
    <t>Vendor3</t>
  </si>
  <si>
    <t>Report Setup</t>
  </si>
  <si>
    <t>Document Number</t>
  </si>
  <si>
    <t>Document Description</t>
  </si>
  <si>
    <t>Y</t>
  </si>
  <si>
    <t>N</t>
  </si>
  <si>
    <t>ADDED</t>
  </si>
  <si>
    <t>DUE</t>
  </si>
  <si>
    <t>RESP</t>
  </si>
  <si>
    <t>Forecast</t>
  </si>
  <si>
    <t>COMMENTS</t>
  </si>
  <si>
    <t>Raised By</t>
  </si>
  <si>
    <t xml:space="preserve">PO  #: </t>
  </si>
  <si>
    <t xml:space="preserve">PO Promise Ship Date: </t>
  </si>
  <si>
    <t>Current Forecast Ship Date:</t>
  </si>
  <si>
    <t>RAIL Updated By:</t>
  </si>
  <si>
    <t>RAIL Chaired By:</t>
  </si>
  <si>
    <t>Attendees</t>
  </si>
  <si>
    <t>John Doe</t>
  </si>
  <si>
    <t>Sam Paul</t>
  </si>
  <si>
    <t>Chris Smith</t>
  </si>
  <si>
    <t>Alice Good</t>
  </si>
  <si>
    <t>Attendees:</t>
  </si>
  <si>
    <t>ABC</t>
  </si>
  <si>
    <t>Nexen</t>
  </si>
  <si>
    <t>Supplier</t>
  </si>
  <si>
    <t>Look UP</t>
  </si>
  <si>
    <t>xxx</t>
  </si>
  <si>
    <t>AnalyZi- ROLLING ACTION ITEMS LIST</t>
  </si>
  <si>
    <t>xxx12345</t>
  </si>
  <si>
    <t>Joy Wong</t>
  </si>
  <si>
    <t>xxx12345-EME-PO-001</t>
  </si>
  <si>
    <t>Technical buiding</t>
  </si>
  <si>
    <t>Alice wang</t>
  </si>
  <si>
    <t>Joy Gao</t>
  </si>
  <si>
    <t>Bob White</t>
  </si>
  <si>
    <t>Clarie Pipe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</si>
</sst>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800]dddd\,\ mmmm\ dd\,\ yyyy"/>
    <numFmt numFmtId="165" formatCode="[$-409]d/mmm/yyyy;@"/>
  </numFmts>
  <fonts count="7" x14ac:knownFonts="1">
    <font>
      <sz val="11"/>
      <color theme="1"/>
      <name val="Calibri"/>
      <family val="2"/>
      <scheme val="minor"/>
    </font>
    <font>
      <b/>
      <sz val="11"/>
      <color theme="1"/>
      <name val="Calibri"/>
      <family val="2"/>
      <scheme val="minor"/>
    </font>
    <font>
      <b/>
      <sz val="22"/>
      <color theme="1"/>
      <name val="Calibri"/>
      <family val="2"/>
      <scheme val="minor"/>
    </font>
    <font>
      <b/>
      <sz val="11"/>
      <name val="Calibri"/>
      <family val="2"/>
      <scheme val="minor"/>
    </font>
    <font>
      <sz val="14"/>
      <name val="Algerian"/>
      <family val="5"/>
    </font>
    <font>
      <sz val="11"/>
      <color theme="1"/>
      <name val="Calibri"/>
      <family val="2"/>
      <scheme val="minor"/>
    </font>
    <font>
      <b/>
      <sz val="11"/>
      <color rgb="FF0070C0"/>
      <name val="Calibri"/>
      <family val="2"/>
      <scheme val="minor"/>
    </font>
  </fonts>
  <fills count="6">
    <fill>
      <patternFill patternType="none"/>
    </fill>
    <fill>
      <patternFill patternType="gray125"/>
    </fill>
    <fill>
      <patternFill patternType="solid">
        <fgColor theme="0"/>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rgb="FFFFFFCC"/>
      </patternFill>
    </fill>
  </fills>
  <borders count="9">
    <border>
      <left/>
      <right/>
      <top/>
      <bottom/>
      <diagonal/>
    </border>
    <border>
      <left/>
      <right/>
      <top/>
      <bottom style="medium">
        <color indexed="64"/>
      </bottom>
      <diagonal/>
    </border>
    <border>
      <left/>
      <right/>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rgb="FFB2B2B2"/>
      </left>
      <right style="thin">
        <color rgb="FFB2B2B2"/>
      </right>
      <top style="thin">
        <color rgb="FFB2B2B2"/>
      </top>
      <bottom style="thin">
        <color rgb="FFB2B2B2"/>
      </bottom>
      <diagonal/>
    </border>
  </borders>
  <cellStyleXfs count="2">
    <xf numFmtId="0" fontId="0" fillId="0" borderId="0"/>
    <xf numFmtId="0" fontId="5" fillId="5" borderId="8" applyNumberFormat="0" applyFont="0" applyAlignment="0" applyProtection="0"/>
  </cellStyleXfs>
  <cellXfs count="29">
    <xf numFmtId="0" fontId="0" fillId="0" borderId="0" xfId="0"/>
    <xf numFmtId="0" fontId="0" fillId="0" borderId="0" xfId="0" applyAlignment="1">
      <alignment horizontal="center"/>
    </xf>
    <xf numFmtId="0" fontId="1" fillId="0" borderId="0" xfId="0" applyFont="1"/>
    <xf numFmtId="0" fontId="0" fillId="2" borderId="0" xfId="0" applyFill="1" applyBorder="1" applyAlignment="1">
      <alignment horizontal="center"/>
    </xf>
    <xf numFmtId="0" fontId="2" fillId="0" borderId="1" xfId="0" applyFont="1" applyBorder="1"/>
    <xf numFmtId="0" fontId="0" fillId="0" borderId="1" xfId="0" applyBorder="1"/>
    <xf numFmtId="0" fontId="0" fillId="0" borderId="0" xfId="0" applyBorder="1"/>
    <xf numFmtId="0" fontId="0" fillId="0" borderId="0" xfId="0" applyBorder="1" applyAlignment="1">
      <alignment horizontal="center"/>
    </xf>
    <xf numFmtId="0" fontId="0" fillId="0" borderId="0" xfId="0" applyAlignment="1">
      <alignment horizontal="center" vertical="center" wrapText="1"/>
    </xf>
    <xf numFmtId="0" fontId="1" fillId="0" borderId="0" xfId="0" applyFont="1" applyAlignment="1">
      <alignment horizontal="left"/>
    </xf>
    <xf numFmtId="0" fontId="0" fillId="2" borderId="0" xfId="0" applyFill="1" applyBorder="1" applyAlignment="1">
      <alignment horizontal="left"/>
    </xf>
    <xf numFmtId="0" fontId="4" fillId="0" borderId="0" xfId="0" applyFont="1"/>
    <xf numFmtId="164" fontId="0" fillId="0" borderId="0" xfId="0" applyNumberFormat="1"/>
    <xf numFmtId="0" fontId="1" fillId="3" borderId="5" xfId="0" applyFont="1" applyFill="1" applyBorder="1"/>
    <xf numFmtId="0" fontId="1" fillId="3" borderId="6" xfId="0" applyFont="1" applyFill="1" applyBorder="1" applyAlignment="1">
      <alignment horizontal="left" vertical="center"/>
    </xf>
    <xf numFmtId="0" fontId="0" fillId="3" borderId="7" xfId="0" applyFill="1" applyBorder="1"/>
    <xf numFmtId="0" fontId="1" fillId="3" borderId="3" xfId="0" applyFont="1" applyFill="1" applyBorder="1"/>
    <xf numFmtId="0" fontId="1" fillId="3" borderId="1" xfId="0" applyFont="1" applyFill="1" applyBorder="1" applyAlignment="1">
      <alignment horizontal="left" vertical="center"/>
    </xf>
    <xf numFmtId="0" fontId="0" fillId="3" borderId="4" xfId="0" applyFill="1" applyBorder="1" applyAlignment="1">
      <alignment horizontal="left"/>
    </xf>
    <xf numFmtId="165" fontId="0" fillId="3" borderId="1" xfId="0" applyNumberFormat="1" applyFill="1" applyBorder="1" applyAlignment="1">
      <alignment horizontal="left"/>
    </xf>
    <xf numFmtId="0" fontId="0" fillId="0" borderId="0" xfId="0" applyFont="1" applyAlignment="1">
      <alignment horizontal="center"/>
    </xf>
    <xf numFmtId="0" fontId="0" fillId="2" borderId="0" xfId="0" applyFont="1" applyFill="1" applyBorder="1" applyAlignment="1">
      <alignment horizontal="center"/>
    </xf>
    <xf numFmtId="0" fontId="3" fillId="4" borderId="2" xfId="0" applyFont="1" applyFill="1" applyBorder="1" applyAlignment="1">
      <alignment horizontal="center" vertical="center" wrapText="1"/>
    </xf>
    <xf numFmtId="0" fontId="1" fillId="0" borderId="0" xfId="0" applyFont="1" applyBorder="1" applyAlignment="1">
      <alignment horizontal="right"/>
    </xf>
    <xf numFmtId="49" fontId="0" fillId="3" borderId="1" xfId="0" applyNumberFormat="1" applyFill="1" applyBorder="1" applyAlignment="1">
      <alignment horizontal="left"/>
    </xf>
    <xf numFmtId="165" fontId="6" fillId="3" borderId="1" xfId="0" applyNumberFormat="1" applyFont="1" applyFill="1" applyBorder="1" applyAlignment="1">
      <alignment horizontal="left"/>
    </xf>
    <xf numFmtId="0" fontId="0" fillId="0" borderId="0" xfId="0" applyAlignment="1">
      <alignment horizontal="center" vertical="center"/>
    </xf>
    <xf numFmtId="0" fontId="2" fillId="0" borderId="1" xfId="0" applyFont="1" applyBorder="1" applyAlignment="1">
      <alignment horizontal="center"/>
    </xf>
    <xf numFmtId="0" fontId="0" fillId="5" borderId="8" xfId="1" applyFont="1" applyAlignment="1">
      <alignment horizontal="left" vertical="top" wrapText="1"/>
    </xf>
  </cellXfs>
  <cellStyles count="2">
    <cellStyle name="Normal" xfId="0" builtinId="0"/>
    <cellStyle name="Note" xfId="1" builtinId="10"/>
  </cellStyles>
  <dxfs count="30">
    <dxf>
      <border outline="0">
        <top style="thin">
          <color theme="4" tint="0.39997558519241921"/>
        </top>
      </border>
    </dxf>
    <dxf>
      <border outline="0">
        <bottom style="thin">
          <color indexed="64"/>
        </bottom>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ill>
        <patternFill>
          <bgColor rgb="FFFF0000"/>
        </patternFill>
      </fill>
    </dxf>
    <dxf>
      <font>
        <strike/>
        <color theme="4" tint="-0.24994659260841701"/>
      </font>
      <fill>
        <patternFill>
          <bgColor theme="9" tint="0.79998168889431442"/>
        </patternFill>
      </fill>
    </dxf>
    <dxf>
      <fill>
        <patternFill patternType="solid">
          <fgColor indexed="64"/>
          <bgColor theme="0"/>
        </patternFill>
      </fill>
      <alignment horizontal="center" vertical="bottom"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ont>
        <b val="0"/>
        <i val="0"/>
        <strike val="0"/>
        <outline val="0"/>
        <shadow val="0"/>
        <u val="none"/>
        <vertAlign val="baseline"/>
        <sz val="11"/>
        <color theme="1"/>
        <name val="Calibri"/>
        <family val="2"/>
        <scheme val="minor"/>
      </font>
      <fill>
        <patternFill patternType="solid">
          <fgColor indexed="64"/>
          <bgColor theme="0"/>
        </patternFill>
      </fill>
      <alignment horizontal="center" vertical="bottom"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border outline="0">
        <bottom style="thin">
          <color indexed="64"/>
        </bottom>
      </border>
    </dxf>
    <dxf>
      <font>
        <b/>
        <strike val="0"/>
        <outline val="0"/>
        <shadow val="0"/>
        <u val="none"/>
        <vertAlign val="baseline"/>
        <sz val="11"/>
        <color auto="1"/>
        <name val="Calibri"/>
        <family val="2"/>
        <scheme val="minor"/>
      </font>
      <fill>
        <patternFill patternType="solid">
          <fgColor indexed="64"/>
          <bgColor theme="8" tint="0.79998168889431442"/>
        </patternFill>
      </fill>
      <alignment horizontal="center" vertical="center" textRotation="0" wrapText="1" indent="0" justifyLastLine="0" shrinkToFit="0" readingOrder="0"/>
    </dxf>
    <dxf>
      <font>
        <strike/>
        <color theme="4" tint="-0.24994659260841701"/>
      </font>
      <fill>
        <patternFill>
          <bgColor theme="9" tint="0.79998168889431442"/>
        </patternFill>
      </fill>
    </dxf>
    <dxf>
      <font>
        <strike/>
        <color theme="4" tint="-0.24994659260841701"/>
      </font>
      <fill>
        <patternFill>
          <bgColor theme="9" tint="0.79998168889431442"/>
        </patternFill>
      </fill>
    </dxf>
    <dxf>
      <font>
        <strike/>
        <color theme="4" tint="-0.24994659260841701"/>
      </font>
      <fill>
        <patternFill>
          <bgColor theme="9" tint="0.79998168889431442"/>
        </patternFill>
      </fill>
    </dxf>
    <dxf>
      <font>
        <strike/>
        <color theme="4" tint="-0.24994659260841701"/>
      </font>
      <fill>
        <patternFill>
          <bgColor theme="9" tint="0.79998168889431442"/>
        </patternFill>
      </fill>
    </dxf>
    <dxf>
      <font>
        <strike/>
        <color theme="4" tint="-0.24994659260841701"/>
      </font>
      <fill>
        <patternFill>
          <bgColor theme="9" tint="0.79998168889431442"/>
        </patternFill>
      </fill>
    </dxf>
    <dxf>
      <font>
        <strike/>
        <color theme="4" tint="-0.24994659260841701"/>
      </font>
      <fill>
        <patternFill>
          <bgColor theme="9" tint="0.79998168889431442"/>
        </patternFill>
      </fill>
    </dxf>
    <dxf>
      <font>
        <strike/>
        <color theme="4" tint="-0.24994659260841701"/>
      </font>
      <fill>
        <patternFill>
          <bgColor theme="9" tint="0.79998168889431442"/>
        </patternFill>
      </fill>
    </dxf>
    <dxf>
      <fill>
        <patternFill>
          <bgColor rgb="FFFF0000"/>
        </patternFill>
      </fill>
    </dxf>
    <dxf>
      <font>
        <strike/>
        <color theme="4" tint="-0.24994659260841701"/>
      </font>
      <fill>
        <patternFill>
          <bgColor theme="9" tint="0.79998168889431442"/>
        </patternFill>
      </fill>
    </dxf>
    <dxf>
      <fill>
        <patternFill>
          <bgColor rgb="FFFF0000"/>
        </patternFill>
      </fill>
    </dxf>
  </dxfs>
  <tableStyles count="0" defaultTableStyle="TableStyleMedium2" defaultPivotStyle="PivotStyleLight16"/>
  <colors>
    <mruColors>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microsoft.com/office/2007/relationships/slicerCache" Target="slicerCaches/slicerCache2.xml"/><Relationship Id="rId10" Type="http://schemas.openxmlformats.org/officeDocument/2006/relationships/customXml" Target="../customXml/item1.xml"/><Relationship Id="rId4" Type="http://schemas.microsoft.com/office/2007/relationships/slicerCache" Target="slicerCaches/slicerCache1.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777240</xdr:colOff>
          <xdr:row>7</xdr:row>
          <xdr:rowOff>68580</xdr:rowOff>
        </xdr:from>
        <xdr:to>
          <xdr:col>4</xdr:col>
          <xdr:colOff>655320</xdr:colOff>
          <xdr:row>8</xdr:row>
          <xdr:rowOff>144780</xdr:rowOff>
        </xdr:to>
        <xdr:sp macro="" textlink="">
          <xdr:nvSpPr>
            <xdr:cNvPr id="1039" name="addItem"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twoCellAnchor editAs="oneCell">
    <xdr:from>
      <xdr:col>9</xdr:col>
      <xdr:colOff>2308250</xdr:colOff>
      <xdr:row>0</xdr:row>
      <xdr:rowOff>52485</xdr:rowOff>
    </xdr:from>
    <xdr:to>
      <xdr:col>9</xdr:col>
      <xdr:colOff>3040380</xdr:colOff>
      <xdr:row>1</xdr:row>
      <xdr:rowOff>324327</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302130" y="52485"/>
          <a:ext cx="732130" cy="454722"/>
        </a:xfrm>
        <a:prstGeom prst="rect">
          <a:avLst/>
        </a:prstGeom>
      </xdr:spPr>
    </xdr:pic>
    <xdr:clientData/>
  </xdr:twoCellAnchor>
  <xdr:twoCellAnchor editAs="absolute">
    <xdr:from>
      <xdr:col>4</xdr:col>
      <xdr:colOff>1059180</xdr:colOff>
      <xdr:row>4</xdr:row>
      <xdr:rowOff>76201</xdr:rowOff>
    </xdr:from>
    <xdr:to>
      <xdr:col>4</xdr:col>
      <xdr:colOff>2268180</xdr:colOff>
      <xdr:row>8</xdr:row>
      <xdr:rowOff>152400</xdr:rowOff>
    </xdr:to>
    <mc:AlternateContent xmlns:mc="http://schemas.openxmlformats.org/markup-compatibility/2006">
      <mc:Choice xmlns:sle15="http://schemas.microsoft.com/office/drawing/2012/slicer" Requires="sle15">
        <xdr:graphicFrame macro="">
          <xdr:nvGraphicFramePr>
            <xdr:cNvPr id="2" name="Done?">
              <a:extLst>
                <a:ext uri="{FF2B5EF4-FFF2-40B4-BE49-F238E27FC236}">
                  <a16:creationId xmlns:a16="http://schemas.microsoft.com/office/drawing/2014/main" id="{AC332E2F-F329-4466-99CE-2214F8B81F75}"/>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Done?"/>
            </a:graphicData>
          </a:graphic>
        </xdr:graphicFrame>
      </mc:Choice>
      <mc:Fallback>
        <xdr:sp macro="" textlink="">
          <xdr:nvSpPr>
            <xdr:cNvPr id="0" name=""/>
            <xdr:cNvSpPr>
              <a:spLocks noTextEdit="1"/>
            </xdr:cNvSpPr>
          </xdr:nvSpPr>
          <xdr:spPr>
            <a:xfrm>
              <a:off x="4594860" y="1013461"/>
              <a:ext cx="1209000" cy="830579"/>
            </a:xfrm>
            <a:prstGeom prst="rect">
              <a:avLst/>
            </a:prstGeom>
            <a:solidFill>
              <a:prstClr val="white"/>
            </a:solidFill>
            <a:ln w="1">
              <a:solidFill>
                <a:prstClr val="green"/>
              </a:solidFill>
            </a:ln>
          </xdr:spPr>
          <xdr:txBody>
            <a:bodyPr vertOverflow="clip" horzOverflow="clip"/>
            <a:lstStyle/>
            <a:p>
              <a:r>
                <a:rPr lang="en-CA"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absolute">
    <xdr:from>
      <xdr:col>4</xdr:col>
      <xdr:colOff>2331720</xdr:colOff>
      <xdr:row>4</xdr:row>
      <xdr:rowOff>68580</xdr:rowOff>
    </xdr:from>
    <xdr:to>
      <xdr:col>4</xdr:col>
      <xdr:colOff>3540720</xdr:colOff>
      <xdr:row>8</xdr:row>
      <xdr:rowOff>152400</xdr:rowOff>
    </xdr:to>
    <mc:AlternateContent xmlns:mc="http://schemas.openxmlformats.org/markup-compatibility/2006">
      <mc:Choice xmlns:sle15="http://schemas.microsoft.com/office/drawing/2012/slicer" Requires="sle15">
        <xdr:graphicFrame macro="">
          <xdr:nvGraphicFramePr>
            <xdr:cNvPr id="3" name="Priority">
              <a:extLst>
                <a:ext uri="{FF2B5EF4-FFF2-40B4-BE49-F238E27FC236}">
                  <a16:creationId xmlns:a16="http://schemas.microsoft.com/office/drawing/2014/main" id="{1671894F-6B70-40FD-BEC6-4EB563FA6AB2}"/>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Priority"/>
            </a:graphicData>
          </a:graphic>
        </xdr:graphicFrame>
      </mc:Choice>
      <mc:Fallback>
        <xdr:sp macro="" textlink="">
          <xdr:nvSpPr>
            <xdr:cNvPr id="0" name=""/>
            <xdr:cNvSpPr>
              <a:spLocks noTextEdit="1"/>
            </xdr:cNvSpPr>
          </xdr:nvSpPr>
          <xdr:spPr>
            <a:xfrm>
              <a:off x="5867400" y="1005840"/>
              <a:ext cx="1209000" cy="838200"/>
            </a:xfrm>
            <a:prstGeom prst="rect">
              <a:avLst/>
            </a:prstGeom>
            <a:solidFill>
              <a:prstClr val="white"/>
            </a:solidFill>
            <a:ln w="1">
              <a:solidFill>
                <a:prstClr val="green"/>
              </a:solidFill>
            </a:ln>
          </xdr:spPr>
          <xdr:txBody>
            <a:bodyPr vertOverflow="clip" horzOverflow="clip"/>
            <a:lstStyle/>
            <a:p>
              <a:r>
                <a:rPr lang="en-CA"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wsDr>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one?" xr10:uid="{C455DFFF-291C-4234-880B-0AE5291BE6D3}" sourceName="Done?">
  <extLst>
    <x:ext xmlns:x15="http://schemas.microsoft.com/office/spreadsheetml/2010/11/main" uri="{2F2917AC-EB37-4324-AD4E-5DD8C200BD13}">
      <x15:tableSlicerCache tableId="4" column="1"/>
    </x:ex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ority" xr10:uid="{1B04B6FD-288B-4190-83BD-AA5EDE8B5CCA}" sourceName="Priority">
  <extLst>
    <x:ext xmlns:x15="http://schemas.microsoft.com/office/spreadsheetml/2010/11/main" uri="{2F2917AC-EB37-4324-AD4E-5DD8C200BD13}">
      <x15:tableSlicerCache tableId="4" column="3"/>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one?" xr10:uid="{D94BCFD2-98F3-474B-A560-83B58B22A21D}" cache="Slicer_Done?" caption="Done?" lockedPosition="1" rowHeight="234950"/>
  <slicer name="Priority" xr10:uid="{B550E510-B395-444E-BC84-2BB3033106CE}" cache="Slicer_Priority" caption="Priority" lockedPosition="1"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4DB8BC1-47EF-4503-BB34-31C94DC01020}" name="ITEMS" displayName="ITEMS" ref="A10:K30" totalsRowShown="0" headerRowDxfId="19" dataDxfId="17" headerRowBorderDxfId="18">
  <autoFilter ref="A10:K30" xr:uid="{5D3B7C99-DAA8-40E1-9C69-7E419ECE851D}"/>
  <tableColumns count="11">
    <tableColumn id="1" xr3:uid="{436021FD-34CF-4C9D-99CF-31304708548C}" name="Done?" dataDxfId="16"/>
    <tableColumn id="2" xr3:uid="{E90AFE21-3ECF-425B-A101-5D2B8019C9F3}" name="Action Item No." dataDxfId="15"/>
    <tableColumn id="3" xr3:uid="{85352583-6F03-4106-9045-F5E821C7648D}" name="Priority" dataDxfId="14"/>
    <tableColumn id="4" xr3:uid="{7735A13B-FFDC-41FF-AA17-8DC147AD677F}" name="RESP" dataDxfId="13"/>
    <tableColumn id="5" xr3:uid="{9C0EEFBD-450F-4F5E-B484-ABA184723E87}" name="Description" dataDxfId="12"/>
    <tableColumn id="6" xr3:uid="{FB4814D5-9337-427F-BEE2-39CAB13A2D83}" name="Raised By" dataDxfId="11"/>
    <tableColumn id="7" xr3:uid="{274120B9-1A7E-49C3-AA72-CB8BA54E5E4F}" name="ADDED" dataDxfId="10"/>
    <tableColumn id="8" xr3:uid="{0005949E-68D7-40F3-9946-11DF37428345}" name="DUE" dataDxfId="9"/>
    <tableColumn id="9" xr3:uid="{50D95883-98BA-4A5E-8233-F554D597016F}" name="Forecast" dataDxfId="8"/>
    <tableColumn id="10" xr3:uid="{661AE368-E336-46A2-AE82-36F5F1953F8F}" name="COMMENTS" dataDxfId="7"/>
    <tableColumn id="11" xr3:uid="{95F6DC2F-EEF2-4E2D-AEAB-76CF59E2BDF8}" name="Links" dataDxfId="6"/>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A846D9D-7B83-415F-B334-99D34E318B80}" name="Done" displayName="Done" ref="B9:B11" totalsRowShown="0" dataDxfId="3">
  <autoFilter ref="B9:B11" xr:uid="{0D72746B-B37D-4105-A198-8D5B5CD3F3BB}"/>
  <tableColumns count="1">
    <tableColumn id="1" xr3:uid="{0760A149-3B69-4129-8F42-2BC2A18D0490}" name="Done" dataDxfId="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85B6BE3-F50A-48A3-8663-68B3E45911DD}" name="Priority" displayName="Priority" ref="D9:D12" totalsRowShown="0">
  <autoFilter ref="D9:D12" xr:uid="{D410F23E-E55A-4728-8B41-E26286A5E232}"/>
  <tableColumns count="1">
    <tableColumn id="1" xr3:uid="{83EAF976-6C29-4B0D-826E-3197C1C95453}" name="Priority"/>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69BD809F-4D70-46FC-9223-BCA95FC25E7E}" name="Assignee" displayName="Assignee" ref="F9:F14" totalsRowShown="0" headerRowBorderDxfId="1" tableBorderDxfId="0">
  <autoFilter ref="F9:F14" xr:uid="{BF16C240-DC3A-4E35-B605-250D1E01A945}"/>
  <tableColumns count="1">
    <tableColumn id="1" xr3:uid="{B8A0EB9B-3F4E-4D80-9157-3F3B7EE4B2EA}" name="Assignee"/>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60A378BE-B018-4D09-8E98-4AAA64558221}" name="Company" displayName="Company" ref="H9:H13" totalsRowShown="0">
  <autoFilter ref="H9:H13" xr:uid="{38FA24BA-80EF-451A-A455-6E9ECBEC08C5}"/>
  <tableColumns count="1">
    <tableColumn id="1" xr3:uid="{A25DC9A4-E73C-4221-99DC-459FC579FB35}" name="Company"/>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2.bin"/><Relationship Id="rId5" Type="http://schemas.openxmlformats.org/officeDocument/2006/relationships/table" Target="../tables/table5.xml"/><Relationship Id="rId4"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63BF56-18F3-4F60-93F8-CDCB8FA7C658}">
  <sheetPr codeName="Sheet1"/>
  <dimension ref="A2:L30"/>
  <sheetViews>
    <sheetView showGridLines="0" tabSelected="1" workbookViewId="0">
      <selection activeCell="E7" sqref="E7"/>
    </sheetView>
  </sheetViews>
  <sheetFormatPr defaultRowHeight="14.4" x14ac:dyDescent="0.3"/>
  <cols>
    <col min="1" max="1" width="10.77734375" style="1" bestFit="1" customWidth="1"/>
    <col min="2" max="2" width="13.77734375" customWidth="1"/>
    <col min="3" max="3" width="14.21875" customWidth="1"/>
    <col min="4" max="4" width="12.77734375" bestFit="1" customWidth="1"/>
    <col min="5" max="5" width="68.21875" customWidth="1"/>
    <col min="6" max="6" width="13" customWidth="1"/>
    <col min="7" max="7" width="16.44140625" bestFit="1" customWidth="1"/>
    <col min="8" max="8" width="13.109375" bestFit="1" customWidth="1"/>
    <col min="9" max="9" width="12.5546875" customWidth="1"/>
    <col min="10" max="10" width="45.21875" customWidth="1"/>
    <col min="11" max="11" width="11.88671875" bestFit="1" customWidth="1"/>
    <col min="12" max="12" width="2.6640625" customWidth="1"/>
    <col min="13" max="13" width="16.109375" customWidth="1"/>
  </cols>
  <sheetData>
    <row r="2" spans="1:12" ht="29.4" thickBot="1" x14ac:dyDescent="0.6">
      <c r="A2" s="4" t="s">
        <v>49</v>
      </c>
      <c r="B2" s="5"/>
      <c r="C2" s="4" t="s">
        <v>48</v>
      </c>
      <c r="D2" s="5"/>
      <c r="E2" s="5"/>
      <c r="F2" s="5"/>
      <c r="G2" s="5"/>
      <c r="H2" s="5"/>
      <c r="I2" s="5"/>
      <c r="J2" s="5"/>
      <c r="K2" s="5"/>
    </row>
    <row r="3" spans="1:12" ht="15" thickBot="1" x14ac:dyDescent="0.35">
      <c r="A3" s="7"/>
      <c r="B3" s="6"/>
      <c r="C3" s="6"/>
      <c r="J3" s="23" t="s">
        <v>2</v>
      </c>
      <c r="K3" s="19">
        <f ca="1">TODAY()</f>
        <v>43247</v>
      </c>
    </row>
    <row r="4" spans="1:12" ht="15" thickBot="1" x14ac:dyDescent="0.35">
      <c r="B4" s="13" t="s">
        <v>32</v>
      </c>
      <c r="C4" s="14" t="str">
        <f>setup!D4</f>
        <v>xxx12345-EME-PO-001</v>
      </c>
      <c r="D4" s="15"/>
      <c r="F4" s="23" t="s">
        <v>42</v>
      </c>
      <c r="G4" s="28" t="str">
        <f>_xlfn.TEXTJOIN(";",TRUE,Attendees!D4:D24)</f>
        <v>Jane Zi-Yep;John Doe;Sam Paul;Chris Smith;Alice Good</v>
      </c>
      <c r="H4" s="28"/>
      <c r="I4" s="28"/>
      <c r="J4" s="23" t="s">
        <v>33</v>
      </c>
      <c r="K4" s="25">
        <f>setup!D6</f>
        <v>43262</v>
      </c>
    </row>
    <row r="5" spans="1:12" ht="15" thickBot="1" x14ac:dyDescent="0.35">
      <c r="B5" s="16" t="s">
        <v>1</v>
      </c>
      <c r="C5" s="17" t="str">
        <f>setup!D5</f>
        <v>Technical buiding</v>
      </c>
      <c r="D5" s="18"/>
      <c r="E5" s="9"/>
      <c r="G5" s="28"/>
      <c r="H5" s="28"/>
      <c r="I5" s="28"/>
      <c r="J5" s="23" t="s">
        <v>34</v>
      </c>
      <c r="K5" s="25">
        <f>setup!D7</f>
        <v>43263</v>
      </c>
    </row>
    <row r="6" spans="1:12" ht="15" thickBot="1" x14ac:dyDescent="0.35">
      <c r="E6" s="2"/>
      <c r="G6" s="28"/>
      <c r="H6" s="28"/>
      <c r="I6" s="28"/>
      <c r="J6" s="23" t="s">
        <v>36</v>
      </c>
      <c r="K6" s="24"/>
    </row>
    <row r="7" spans="1:12" ht="15" thickBot="1" x14ac:dyDescent="0.35">
      <c r="B7" s="9" t="s">
        <v>9</v>
      </c>
      <c r="C7">
        <f>COUNTIF(A:A,"Y") + COUNTIF(A:A,"N")</f>
        <v>1</v>
      </c>
      <c r="E7" s="2"/>
      <c r="G7" s="28"/>
      <c r="H7" s="28"/>
      <c r="I7" s="28"/>
      <c r="J7" s="23" t="s">
        <v>35</v>
      </c>
      <c r="K7" s="24"/>
    </row>
    <row r="8" spans="1:12" x14ac:dyDescent="0.3">
      <c r="B8" s="2" t="s">
        <v>10</v>
      </c>
      <c r="C8">
        <f>COUNTIF(A:A,"N")</f>
        <v>0</v>
      </c>
      <c r="E8" s="2"/>
      <c r="F8" s="2"/>
      <c r="G8" s="28"/>
      <c r="H8" s="28"/>
      <c r="I8" s="28"/>
    </row>
    <row r="10" spans="1:12" s="8" customFormat="1" ht="28.2" customHeight="1" x14ac:dyDescent="0.3">
      <c r="A10" s="22" t="s">
        <v>0</v>
      </c>
      <c r="B10" s="22" t="s">
        <v>5</v>
      </c>
      <c r="C10" s="22" t="s">
        <v>7</v>
      </c>
      <c r="D10" s="22" t="s">
        <v>28</v>
      </c>
      <c r="E10" s="22" t="s">
        <v>6</v>
      </c>
      <c r="F10" s="22" t="s">
        <v>31</v>
      </c>
      <c r="G10" s="22" t="s">
        <v>26</v>
      </c>
      <c r="H10" s="22" t="s">
        <v>27</v>
      </c>
      <c r="I10" s="22" t="s">
        <v>29</v>
      </c>
      <c r="J10" s="22" t="s">
        <v>30</v>
      </c>
      <c r="K10" s="22" t="s">
        <v>4</v>
      </c>
    </row>
    <row r="11" spans="1:12" x14ac:dyDescent="0.3">
      <c r="A11" s="21" t="s">
        <v>24</v>
      </c>
      <c r="B11" s="3">
        <v>1</v>
      </c>
      <c r="C11" s="3" t="s">
        <v>12</v>
      </c>
      <c r="D11" s="3" t="s">
        <v>14</v>
      </c>
      <c r="E11" s="10" t="s">
        <v>15</v>
      </c>
      <c r="F11" s="3"/>
      <c r="G11" s="3"/>
      <c r="H11" s="3"/>
      <c r="I11" s="3"/>
      <c r="J11" s="3"/>
      <c r="K11" s="3"/>
      <c r="L11" s="1"/>
    </row>
    <row r="12" spans="1:12" x14ac:dyDescent="0.3">
      <c r="A12" s="21"/>
      <c r="B12" s="3">
        <v>2</v>
      </c>
      <c r="C12" s="3"/>
      <c r="D12" s="3"/>
      <c r="E12" s="3"/>
      <c r="F12" s="3"/>
      <c r="G12" s="3"/>
      <c r="H12" s="3"/>
      <c r="I12" s="3"/>
      <c r="J12" s="3"/>
      <c r="K12" s="3"/>
    </row>
    <row r="13" spans="1:12" x14ac:dyDescent="0.3">
      <c r="A13" s="21"/>
      <c r="B13" s="3">
        <v>3</v>
      </c>
      <c r="C13" s="3"/>
      <c r="D13" s="3"/>
      <c r="E13" s="3"/>
      <c r="F13" s="3"/>
      <c r="G13" s="3"/>
      <c r="H13" s="3"/>
      <c r="I13" s="3"/>
      <c r="J13" s="3"/>
      <c r="K13" s="3"/>
    </row>
    <row r="14" spans="1:12" x14ac:dyDescent="0.3">
      <c r="A14" s="21"/>
      <c r="B14" s="3">
        <v>4</v>
      </c>
      <c r="C14" s="3"/>
      <c r="D14" s="3"/>
      <c r="E14" s="3"/>
      <c r="F14" s="3"/>
      <c r="G14" s="3"/>
      <c r="H14" s="3"/>
      <c r="I14" s="3"/>
      <c r="J14" s="3"/>
      <c r="K14" s="3"/>
    </row>
    <row r="15" spans="1:12" x14ac:dyDescent="0.3">
      <c r="A15" s="21"/>
      <c r="B15" s="3">
        <v>5</v>
      </c>
      <c r="C15" s="3"/>
      <c r="D15" s="3"/>
      <c r="E15" s="3"/>
      <c r="F15" s="3"/>
      <c r="G15" s="3"/>
      <c r="H15" s="3"/>
      <c r="I15" s="3"/>
      <c r="J15" s="3"/>
      <c r="K15" s="3"/>
    </row>
    <row r="16" spans="1:12" x14ac:dyDescent="0.3">
      <c r="A16" s="21"/>
      <c r="B16" s="3">
        <v>6</v>
      </c>
      <c r="C16" s="3"/>
      <c r="D16" s="3"/>
      <c r="E16" s="3"/>
      <c r="F16" s="3"/>
      <c r="G16" s="3"/>
      <c r="H16" s="3"/>
      <c r="I16" s="3"/>
      <c r="J16" s="3"/>
      <c r="K16" s="3"/>
    </row>
    <row r="17" spans="1:11" x14ac:dyDescent="0.3">
      <c r="A17" s="21"/>
      <c r="B17" s="3">
        <v>7</v>
      </c>
      <c r="C17" s="3"/>
      <c r="D17" s="3"/>
      <c r="E17" s="3"/>
      <c r="F17" s="3"/>
      <c r="G17" s="3"/>
      <c r="H17" s="3"/>
      <c r="I17" s="3"/>
      <c r="J17" s="3"/>
      <c r="K17" s="3"/>
    </row>
    <row r="18" spans="1:11" x14ac:dyDescent="0.3">
      <c r="A18" s="21"/>
      <c r="B18" s="3">
        <v>8</v>
      </c>
      <c r="C18" s="3"/>
      <c r="D18" s="3"/>
      <c r="E18" s="3"/>
      <c r="F18" s="3"/>
      <c r="G18" s="3"/>
      <c r="H18" s="3"/>
      <c r="I18" s="3"/>
      <c r="J18" s="3"/>
      <c r="K18" s="3"/>
    </row>
    <row r="19" spans="1:11" x14ac:dyDescent="0.3">
      <c r="A19" s="21"/>
      <c r="B19" s="3">
        <v>9</v>
      </c>
      <c r="C19" s="3"/>
      <c r="D19" s="3"/>
      <c r="E19" s="3"/>
      <c r="F19" s="3"/>
      <c r="G19" s="3"/>
      <c r="H19" s="3"/>
      <c r="I19" s="3"/>
      <c r="J19" s="3"/>
      <c r="K19" s="3"/>
    </row>
    <row r="20" spans="1:11" x14ac:dyDescent="0.3">
      <c r="A20" s="21"/>
      <c r="B20" s="3">
        <v>10</v>
      </c>
      <c r="C20" s="3"/>
      <c r="D20" s="3"/>
      <c r="E20" s="3"/>
      <c r="F20" s="3"/>
      <c r="G20" s="3"/>
      <c r="H20" s="3"/>
      <c r="I20" s="3"/>
      <c r="J20" s="3"/>
      <c r="K20" s="3"/>
    </row>
    <row r="21" spans="1:11" x14ac:dyDescent="0.3">
      <c r="A21" s="21"/>
      <c r="B21" s="3">
        <v>11</v>
      </c>
      <c r="C21" s="3"/>
      <c r="D21" s="3"/>
      <c r="E21" s="3"/>
      <c r="F21" s="3"/>
      <c r="G21" s="3"/>
      <c r="H21" s="3"/>
      <c r="I21" s="3"/>
      <c r="J21" s="3"/>
      <c r="K21" s="3"/>
    </row>
    <row r="22" spans="1:11" x14ac:dyDescent="0.3">
      <c r="A22" s="21"/>
      <c r="B22" s="3">
        <v>12</v>
      </c>
      <c r="C22" s="3"/>
      <c r="D22" s="3"/>
      <c r="E22" s="3"/>
      <c r="F22" s="3"/>
      <c r="G22" s="3"/>
      <c r="H22" s="3"/>
      <c r="I22" s="3"/>
      <c r="J22" s="3"/>
      <c r="K22" s="3"/>
    </row>
    <row r="23" spans="1:11" x14ac:dyDescent="0.3">
      <c r="A23" s="21"/>
      <c r="B23" s="3">
        <v>13</v>
      </c>
      <c r="C23" s="3"/>
      <c r="D23" s="3"/>
      <c r="E23" s="3"/>
      <c r="F23" s="3"/>
      <c r="G23" s="3"/>
      <c r="H23" s="3"/>
      <c r="I23" s="3"/>
      <c r="J23" s="3"/>
      <c r="K23" s="3"/>
    </row>
    <row r="24" spans="1:11" x14ac:dyDescent="0.3">
      <c r="A24" s="21"/>
      <c r="B24" s="3">
        <v>14</v>
      </c>
      <c r="C24" s="3"/>
      <c r="D24" s="3"/>
      <c r="E24" s="3"/>
      <c r="F24" s="3"/>
      <c r="G24" s="3"/>
      <c r="H24" s="3"/>
      <c r="I24" s="3"/>
      <c r="J24" s="3"/>
      <c r="K24" s="3"/>
    </row>
    <row r="25" spans="1:11" x14ac:dyDescent="0.3">
      <c r="A25" s="21"/>
      <c r="B25" s="3">
        <v>15</v>
      </c>
      <c r="C25" s="3"/>
      <c r="D25" s="3"/>
      <c r="E25" s="3"/>
      <c r="F25" s="3"/>
      <c r="G25" s="3"/>
      <c r="H25" s="3"/>
      <c r="I25" s="3"/>
      <c r="J25" s="3"/>
      <c r="K25" s="3"/>
    </row>
    <row r="26" spans="1:11" x14ac:dyDescent="0.3">
      <c r="A26" s="21"/>
      <c r="B26" s="3">
        <v>16</v>
      </c>
      <c r="C26" s="3"/>
      <c r="D26" s="3"/>
      <c r="E26" s="3"/>
      <c r="F26" s="3"/>
      <c r="G26" s="3"/>
      <c r="H26" s="3"/>
      <c r="I26" s="3"/>
      <c r="J26" s="3"/>
      <c r="K26" s="3"/>
    </row>
    <row r="27" spans="1:11" x14ac:dyDescent="0.3">
      <c r="A27" s="21"/>
      <c r="B27" s="3">
        <v>17</v>
      </c>
      <c r="C27" s="3"/>
      <c r="D27" s="3"/>
      <c r="E27" s="3"/>
      <c r="F27" s="3"/>
      <c r="G27" s="3"/>
      <c r="H27" s="3"/>
      <c r="I27" s="3"/>
      <c r="J27" s="3"/>
      <c r="K27" s="3"/>
    </row>
    <row r="28" spans="1:11" x14ac:dyDescent="0.3">
      <c r="A28" s="21"/>
      <c r="B28" s="3">
        <v>18</v>
      </c>
      <c r="C28" s="3"/>
      <c r="D28" s="3"/>
      <c r="E28" s="3"/>
      <c r="F28" s="3"/>
      <c r="G28" s="3"/>
      <c r="H28" s="3"/>
      <c r="I28" s="3"/>
      <c r="J28" s="3"/>
      <c r="K28" s="3"/>
    </row>
    <row r="29" spans="1:11" x14ac:dyDescent="0.3">
      <c r="A29" s="21"/>
      <c r="B29" s="3">
        <v>19</v>
      </c>
      <c r="C29" s="3"/>
      <c r="D29" s="3"/>
      <c r="E29" s="3"/>
      <c r="F29" s="3"/>
      <c r="G29" s="3"/>
      <c r="H29" s="3"/>
      <c r="I29" s="3"/>
      <c r="J29" s="3"/>
      <c r="K29" s="3"/>
    </row>
    <row r="30" spans="1:11" x14ac:dyDescent="0.3">
      <c r="A30" s="21"/>
      <c r="B30" s="3">
        <v>20</v>
      </c>
      <c r="C30" s="3"/>
      <c r="D30" s="3"/>
      <c r="E30" s="3"/>
      <c r="F30" s="3"/>
      <c r="G30" s="3"/>
      <c r="H30" s="3"/>
      <c r="I30" s="3"/>
      <c r="J30" s="3"/>
      <c r="K30" s="3"/>
    </row>
  </sheetData>
  <sheetProtection formatCells="0" formatColumns="0" formatRows="0" insertColumns="0" insertRows="0" insertHyperlinks="0" deleteColumns="0" deleteRows="0" sort="0" autoFilter="0" pivotTables="0"/>
  <mergeCells count="1">
    <mergeCell ref="G4:I8"/>
  </mergeCells>
  <conditionalFormatting sqref="C1:C1048576">
    <cfRule type="cellIs" dxfId="29" priority="11" operator="equal">
      <formula>"High"</formula>
    </cfRule>
  </conditionalFormatting>
  <conditionalFormatting sqref="L31:Z1498 A31:K1499 A9:Z30 A4:E7 A1:Z3 J4 L4:Z7 A8:F8 J8:Z8">
    <cfRule type="expression" dxfId="28" priority="10">
      <formula>INDIRECT("A"&amp;ROW())="Y"</formula>
    </cfRule>
  </conditionalFormatting>
  <conditionalFormatting sqref="A2">
    <cfRule type="cellIs" dxfId="27" priority="8" operator="equal">
      <formula>"High"</formula>
    </cfRule>
  </conditionalFormatting>
  <conditionalFormatting sqref="J5">
    <cfRule type="expression" dxfId="26" priority="7">
      <formula>INDIRECT("A"&amp;ROW())="Y"</formula>
    </cfRule>
  </conditionalFormatting>
  <conditionalFormatting sqref="K5:K6">
    <cfRule type="expression" dxfId="25" priority="6">
      <formula>INDIRECT("A"&amp;ROW())="Y"</formula>
    </cfRule>
  </conditionalFormatting>
  <conditionalFormatting sqref="J6">
    <cfRule type="expression" dxfId="24" priority="5">
      <formula>INDIRECT("A"&amp;ROW())="Y"</formula>
    </cfRule>
  </conditionalFormatting>
  <conditionalFormatting sqref="K4">
    <cfRule type="expression" dxfId="23" priority="4">
      <formula>INDIRECT("A"&amp;ROW())="Y"</formula>
    </cfRule>
  </conditionalFormatting>
  <conditionalFormatting sqref="K7">
    <cfRule type="expression" dxfId="22" priority="3">
      <formula>INDIRECT("A"&amp;ROW())="Y"</formula>
    </cfRule>
  </conditionalFormatting>
  <conditionalFormatting sqref="J7">
    <cfRule type="expression" dxfId="21" priority="2">
      <formula>INDIRECT("A"&amp;ROW())="Y"</formula>
    </cfRule>
  </conditionalFormatting>
  <conditionalFormatting sqref="F4">
    <cfRule type="expression" dxfId="20" priority="1">
      <formula>INDIRECT("A"&amp;ROW())="Y"</formula>
    </cfRule>
  </conditionalFormatting>
  <pageMargins left="0.7" right="0.7" top="0.75" bottom="0.75" header="0.3" footer="0.3"/>
  <pageSetup orientation="portrait" r:id="rId1"/>
  <ignoredErrors>
    <ignoredError sqref="A10" listDataValidation="1"/>
  </ignoredErrors>
  <drawing r:id="rId2"/>
  <legacyDrawing r:id="rId3"/>
  <controls>
    <mc:AlternateContent xmlns:mc="http://schemas.openxmlformats.org/markup-compatibility/2006">
      <mc:Choice Requires="x14">
        <control shapeId="1039" r:id="rId4" name="addItem">
          <controlPr defaultSize="0" autoFill="0" autoLine="0" r:id="rId5">
            <anchor moveWithCells="1">
              <from>
                <xdr:col>3</xdr:col>
                <xdr:colOff>777240</xdr:colOff>
                <xdr:row>7</xdr:row>
                <xdr:rowOff>68580</xdr:rowOff>
              </from>
              <to>
                <xdr:col>4</xdr:col>
                <xdr:colOff>655320</xdr:colOff>
                <xdr:row>8</xdr:row>
                <xdr:rowOff>144780</xdr:rowOff>
              </to>
            </anchor>
          </controlPr>
        </control>
      </mc:Choice>
      <mc:Fallback>
        <control shapeId="1039" r:id="rId4" name="addItem"/>
      </mc:Fallback>
    </mc:AlternateContent>
  </controls>
  <tableParts count="1">
    <tablePart r:id="rId6"/>
  </tableParts>
  <extLst>
    <ext xmlns:x14="http://schemas.microsoft.com/office/spreadsheetml/2009/9/main" uri="{78C0D931-6437-407d-A8EE-F0AAD7539E65}">
      <x14:conditionalFormattings>
        <x14:conditionalFormatting xmlns:xm="http://schemas.microsoft.com/office/excel/2006/main">
          <x14:cfRule type="iconSet" priority="9" id="{E5D5525A-A3B3-470C-BD85-092FB1220E65}">
            <x14:iconSet iconSet="3Flags" custom="1">
              <x14:cfvo type="percent">
                <xm:f>0</xm:f>
              </x14:cfvo>
              <x14:cfvo type="num" gte="0">
                <xm:f>0</xm:f>
              </x14:cfvo>
              <x14:cfvo type="num">
                <xm:f>10</xm:f>
              </x14:cfvo>
              <x14:cfIcon iconSet="3Flags" iconId="2"/>
              <x14:cfIcon iconSet="3Symbols2" iconId="1"/>
              <x14:cfIcon iconSet="3Symbols2" iconId="0"/>
            </x14:iconSet>
          </x14:cfRule>
          <xm:sqref>C8</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errorTitle="Only Check Mark Allowed!" error="Please select from Drop Down!" promptTitle="Done?" prompt="Check If Done!" xr:uid="{B2B96E2D-54F3-4F19-A28B-BBDDAA91267A}">
          <x14:formula1>
            <xm:f>setup!$B$10:$B$11</xm:f>
          </x14:formula1>
          <xm:sqref>A10</xm:sqref>
        </x14:dataValidation>
        <x14:dataValidation type="list" allowBlank="1" showInputMessage="1" showErrorMessage="1" errorTitle="Done" error="Select from Drop down list only!" promptTitle="Done" prompt="Please Select from Drop Down!" xr:uid="{4644B411-9D94-4178-8515-7F2F3DE147A6}">
          <x14:formula1>
            <xm:f>setup!$B$10:$B$11</xm:f>
          </x14:formula1>
          <xm:sqref>A11:A30</xm:sqref>
        </x14:dataValidation>
        <x14:dataValidation type="list" allowBlank="1" showInputMessage="1" showErrorMessage="1" errorTitle="Priority" error="Select Priority from Drop Down!" promptTitle="Priority" prompt="Select Priority" xr:uid="{7DE1CAB6-D402-452C-89BA-019B3D68B3D9}">
          <x14:formula1>
            <xm:f>setup!$D$10:$D$12</xm:f>
          </x14:formula1>
          <xm:sqref>C11</xm:sqref>
        </x14:dataValidation>
        <x14:dataValidation type="list" errorStyle="warning" allowBlank="1" showInputMessage="1" showErrorMessage="1" errorTitle="Assignee" error="Select from Drop Down!" promptTitle="Assignee" prompt="Select Assignee" xr:uid="{36959C92-CE95-47DB-BBBE-E022C01F98F1}">
          <x14:formula1>
            <xm:f>setup!$F$10:$F$14</xm:f>
          </x14:formula1>
          <xm:sqref>D11</xm:sqref>
        </x14:dataValidation>
      </x14:dataValidations>
    </ext>
    <ext xmlns:x15="http://schemas.microsoft.com/office/spreadsheetml/2010/11/main" uri="{3A4CF648-6AED-40f4-86FF-DC5316D8AED3}">
      <x14:slicerList xmlns:x14="http://schemas.microsoft.com/office/spreadsheetml/2009/9/main">
        <x14:slicer r:id="rId7"/>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5CC6AC-4B7A-4467-BF89-E1315980D9BD}">
  <sheetPr codeName="Sheet3"/>
  <dimension ref="A2:H27"/>
  <sheetViews>
    <sheetView workbookViewId="0">
      <selection activeCell="C5" sqref="C5"/>
    </sheetView>
  </sheetViews>
  <sheetFormatPr defaultRowHeight="14.4" x14ac:dyDescent="0.3"/>
  <cols>
    <col min="1" max="1" width="20.33203125" customWidth="1"/>
    <col min="2" max="2" width="10.77734375" style="26" customWidth="1"/>
    <col min="3" max="3" width="18.77734375" customWidth="1"/>
    <col min="4" max="4" width="8.88671875" style="1"/>
    <col min="5" max="5" width="9" style="1" bestFit="1" customWidth="1"/>
    <col min="7" max="8" width="8.88671875" style="1"/>
  </cols>
  <sheetData>
    <row r="2" spans="1:4" ht="29.4" thickBot="1" x14ac:dyDescent="0.6">
      <c r="A2" s="27" t="s">
        <v>37</v>
      </c>
      <c r="D2" t="s">
        <v>24</v>
      </c>
    </row>
    <row r="3" spans="1:4" x14ac:dyDescent="0.3">
      <c r="D3" s="1" t="s">
        <v>46</v>
      </c>
    </row>
    <row r="4" spans="1:4" x14ac:dyDescent="0.3">
      <c r="A4" t="s">
        <v>17</v>
      </c>
      <c r="B4" s="26" t="s">
        <v>24</v>
      </c>
      <c r="C4" s="1" t="s">
        <v>14</v>
      </c>
      <c r="D4" s="1" t="str">
        <f>IFERROR(VLOOKUP($D$2,B4:C4,2,FALSE),"")</f>
        <v>Jane Zi-Yep</v>
      </c>
    </row>
    <row r="5" spans="1:4" x14ac:dyDescent="0.3">
      <c r="B5" s="26" t="s">
        <v>25</v>
      </c>
      <c r="C5" s="1" t="s">
        <v>50</v>
      </c>
      <c r="D5" s="1" t="str">
        <f t="shared" ref="D5:D27" si="0">IFERROR(VLOOKUP($D$2,B5:C5,2,FALSE),"")</f>
        <v/>
      </c>
    </row>
    <row r="6" spans="1:4" x14ac:dyDescent="0.3">
      <c r="C6" s="1" t="s">
        <v>47</v>
      </c>
      <c r="D6" s="1" t="str">
        <f t="shared" si="0"/>
        <v/>
      </c>
    </row>
    <row r="7" spans="1:4" x14ac:dyDescent="0.3">
      <c r="C7" s="1" t="s">
        <v>47</v>
      </c>
      <c r="D7" s="1" t="str">
        <f t="shared" si="0"/>
        <v/>
      </c>
    </row>
    <row r="8" spans="1:4" x14ac:dyDescent="0.3">
      <c r="C8" s="1" t="s">
        <v>47</v>
      </c>
      <c r="D8" s="1" t="str">
        <f t="shared" si="0"/>
        <v/>
      </c>
    </row>
    <row r="9" spans="1:4" x14ac:dyDescent="0.3">
      <c r="C9" s="1" t="s">
        <v>47</v>
      </c>
      <c r="D9" s="1" t="str">
        <f t="shared" si="0"/>
        <v/>
      </c>
    </row>
    <row r="10" spans="1:4" x14ac:dyDescent="0.3">
      <c r="C10" s="1" t="s">
        <v>47</v>
      </c>
      <c r="D10" s="1" t="str">
        <f t="shared" si="0"/>
        <v/>
      </c>
    </row>
    <row r="11" spans="1:4" x14ac:dyDescent="0.3">
      <c r="C11" s="1"/>
      <c r="D11" s="1" t="str">
        <f t="shared" si="0"/>
        <v/>
      </c>
    </row>
    <row r="12" spans="1:4" x14ac:dyDescent="0.3">
      <c r="C12" s="1"/>
      <c r="D12" s="1" t="str">
        <f t="shared" si="0"/>
        <v/>
      </c>
    </row>
    <row r="13" spans="1:4" x14ac:dyDescent="0.3">
      <c r="C13" s="1"/>
      <c r="D13" s="1" t="str">
        <f t="shared" si="0"/>
        <v/>
      </c>
    </row>
    <row r="14" spans="1:4" x14ac:dyDescent="0.3">
      <c r="A14" t="s">
        <v>44</v>
      </c>
      <c r="B14" s="26" t="s">
        <v>24</v>
      </c>
      <c r="C14" s="1" t="s">
        <v>38</v>
      </c>
      <c r="D14" s="1" t="str">
        <f t="shared" si="0"/>
        <v>John Doe</v>
      </c>
    </row>
    <row r="15" spans="1:4" x14ac:dyDescent="0.3">
      <c r="B15" s="26" t="s">
        <v>24</v>
      </c>
      <c r="C15" s="1" t="s">
        <v>39</v>
      </c>
      <c r="D15" s="1" t="str">
        <f t="shared" si="0"/>
        <v>Sam Paul</v>
      </c>
    </row>
    <row r="16" spans="1:4" x14ac:dyDescent="0.3">
      <c r="B16" s="26" t="s">
        <v>25</v>
      </c>
      <c r="C16" s="1" t="s">
        <v>43</v>
      </c>
      <c r="D16" s="1" t="str">
        <f t="shared" si="0"/>
        <v/>
      </c>
    </row>
    <row r="17" spans="1:4" x14ac:dyDescent="0.3">
      <c r="C17" s="1"/>
      <c r="D17" s="1" t="str">
        <f t="shared" si="0"/>
        <v/>
      </c>
    </row>
    <row r="18" spans="1:4" x14ac:dyDescent="0.3">
      <c r="C18" s="1"/>
      <c r="D18" s="1" t="str">
        <f t="shared" si="0"/>
        <v/>
      </c>
    </row>
    <row r="19" spans="1:4" x14ac:dyDescent="0.3">
      <c r="C19" s="1"/>
      <c r="D19" s="1" t="str">
        <f t="shared" si="0"/>
        <v/>
      </c>
    </row>
    <row r="20" spans="1:4" x14ac:dyDescent="0.3">
      <c r="C20" s="1"/>
      <c r="D20" s="1" t="str">
        <f t="shared" si="0"/>
        <v/>
      </c>
    </row>
    <row r="21" spans="1:4" x14ac:dyDescent="0.3">
      <c r="C21" s="1"/>
      <c r="D21" s="1" t="str">
        <f t="shared" si="0"/>
        <v/>
      </c>
    </row>
    <row r="22" spans="1:4" x14ac:dyDescent="0.3">
      <c r="A22" t="s">
        <v>45</v>
      </c>
      <c r="B22" s="26" t="s">
        <v>24</v>
      </c>
      <c r="C22" s="1" t="s">
        <v>40</v>
      </c>
      <c r="D22" s="1" t="str">
        <f t="shared" si="0"/>
        <v>Chris Smith</v>
      </c>
    </row>
    <row r="23" spans="1:4" x14ac:dyDescent="0.3">
      <c r="B23" s="26" t="s">
        <v>24</v>
      </c>
      <c r="C23" s="1" t="s">
        <v>41</v>
      </c>
      <c r="D23" s="1" t="str">
        <f t="shared" si="0"/>
        <v>Alice Good</v>
      </c>
    </row>
    <row r="24" spans="1:4" x14ac:dyDescent="0.3">
      <c r="B24" s="26" t="s">
        <v>25</v>
      </c>
      <c r="C24" s="1" t="s">
        <v>43</v>
      </c>
      <c r="D24" s="1" t="str">
        <f t="shared" si="0"/>
        <v/>
      </c>
    </row>
    <row r="25" spans="1:4" x14ac:dyDescent="0.3">
      <c r="C25" s="1" t="s">
        <v>47</v>
      </c>
      <c r="D25" s="1" t="str">
        <f t="shared" si="0"/>
        <v/>
      </c>
    </row>
    <row r="26" spans="1:4" x14ac:dyDescent="0.3">
      <c r="C26" s="1" t="s">
        <v>47</v>
      </c>
      <c r="D26" s="1" t="str">
        <f t="shared" si="0"/>
        <v/>
      </c>
    </row>
    <row r="27" spans="1:4" x14ac:dyDescent="0.3">
      <c r="C27" s="1" t="s">
        <v>47</v>
      </c>
      <c r="D27" s="1" t="str">
        <f t="shared" si="0"/>
        <v/>
      </c>
    </row>
  </sheetData>
  <conditionalFormatting sqref="A2">
    <cfRule type="expression" dxfId="5" priority="2">
      <formula>INDIRECT("A"&amp;ROW())="Y"</formula>
    </cfRule>
  </conditionalFormatting>
  <conditionalFormatting sqref="A2">
    <cfRule type="cellIs" dxfId="4" priority="1" operator="equal">
      <formula>"High"</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C08056-2406-4CA3-9193-CE2954B65661}">
  <sheetPr codeName="Sheet2"/>
  <dimension ref="B2:H14"/>
  <sheetViews>
    <sheetView workbookViewId="0">
      <selection activeCell="F15" sqref="F15"/>
    </sheetView>
  </sheetViews>
  <sheetFormatPr defaultRowHeight="14.4" x14ac:dyDescent="0.3"/>
  <cols>
    <col min="3" max="3" width="10.33203125" bestFit="1" customWidth="1"/>
    <col min="4" max="4" width="20.44140625" bestFit="1" customWidth="1"/>
    <col min="6" max="6" width="10.21875" customWidth="1"/>
    <col min="8" max="8" width="11" customWidth="1"/>
  </cols>
  <sheetData>
    <row r="2" spans="2:8" ht="19.8" x14ac:dyDescent="0.4">
      <c r="B2" s="11" t="s">
        <v>21</v>
      </c>
    </row>
    <row r="4" spans="2:8" x14ac:dyDescent="0.3">
      <c r="B4" t="s">
        <v>22</v>
      </c>
      <c r="D4" t="s">
        <v>51</v>
      </c>
    </row>
    <row r="5" spans="2:8" x14ac:dyDescent="0.3">
      <c r="B5" t="s">
        <v>23</v>
      </c>
      <c r="D5" t="s">
        <v>52</v>
      </c>
    </row>
    <row r="6" spans="2:8" x14ac:dyDescent="0.3">
      <c r="B6" t="s">
        <v>33</v>
      </c>
      <c r="D6" s="12">
        <v>43262</v>
      </c>
    </row>
    <row r="7" spans="2:8" x14ac:dyDescent="0.3">
      <c r="B7" t="s">
        <v>34</v>
      </c>
      <c r="D7" s="12">
        <v>43263</v>
      </c>
    </row>
    <row r="9" spans="2:8" x14ac:dyDescent="0.3">
      <c r="B9" t="s">
        <v>8</v>
      </c>
      <c r="D9" t="s">
        <v>7</v>
      </c>
      <c r="F9" t="s">
        <v>3</v>
      </c>
      <c r="H9" t="s">
        <v>16</v>
      </c>
    </row>
    <row r="10" spans="2:8" x14ac:dyDescent="0.3">
      <c r="B10" s="20" t="s">
        <v>24</v>
      </c>
      <c r="D10" t="s">
        <v>11</v>
      </c>
      <c r="F10" t="s">
        <v>53</v>
      </c>
      <c r="H10" t="s">
        <v>17</v>
      </c>
    </row>
    <row r="11" spans="2:8" x14ac:dyDescent="0.3">
      <c r="B11" s="20" t="s">
        <v>25</v>
      </c>
      <c r="D11" t="s">
        <v>12</v>
      </c>
      <c r="F11" t="s">
        <v>14</v>
      </c>
      <c r="H11" t="s">
        <v>18</v>
      </c>
    </row>
    <row r="12" spans="2:8" x14ac:dyDescent="0.3">
      <c r="D12" t="s">
        <v>13</v>
      </c>
      <c r="F12" t="s">
        <v>54</v>
      </c>
      <c r="H12" t="s">
        <v>19</v>
      </c>
    </row>
    <row r="13" spans="2:8" x14ac:dyDescent="0.3">
      <c r="F13" t="s">
        <v>55</v>
      </c>
      <c r="H13" t="s">
        <v>20</v>
      </c>
    </row>
    <row r="14" spans="2:8" x14ac:dyDescent="0.3">
      <c r="F14" t="s">
        <v>56</v>
      </c>
    </row>
  </sheetData>
  <pageMargins left="0.7" right="0.7" top="0.75" bottom="0.75" header="0.3" footer="0.3"/>
  <pageSetup orientation="portrait" r:id="rId1"/>
  <tableParts count="4">
    <tablePart r:id="rId2"/>
    <tablePart r:id="rId3"/>
    <tablePart r:id="rId4"/>
    <tablePart r:id="rId5"/>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7893503-A8DC-4B00-B095-392660EB5CC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Master</vt:lpstr>
      <vt:lpstr>Attendees</vt:lpstr>
      <vt:lpstr>setup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 Yep</dc:creator>
  <cp:lastModifiedBy>Administrator Yep</cp:lastModifiedBy>
  <dcterms:created xsi:type="dcterms:W3CDTF">2018-05-26T20:40:36Z</dcterms:created>
  <dcterms:modified xsi:type="dcterms:W3CDTF">2018-05-28T04:34:53Z</dcterms:modified>
</cp:coreProperties>
</file>